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/>
  <mc:AlternateContent xmlns:mc="http://schemas.openxmlformats.org/markup-compatibility/2006">
    <mc:Choice Requires="x15">
      <x15ac:absPath xmlns:x15ac="http://schemas.microsoft.com/office/spreadsheetml/2010/11/ac" url="H:\Programmer\eCosts\"/>
    </mc:Choice>
  </mc:AlternateContent>
  <xr:revisionPtr revIDLastSave="0" documentId="13_ncr:1_{8A5B0E04-0B63-49CD-9908-395DD529A96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2" sheetId="2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2" i="2"/>
</calcChain>
</file>

<file path=xl/sharedStrings.xml><?xml version="1.0" encoding="utf-8"?>
<sst xmlns="http://schemas.openxmlformats.org/spreadsheetml/2006/main" count="115" uniqueCount="67">
  <si>
    <t>Основная отрасль</t>
  </si>
  <si>
    <t>Пищевая промышленность</t>
  </si>
  <si>
    <t>Радиоэлектроника и приборостроение</t>
  </si>
  <si>
    <t>Авиационная промышленность</t>
  </si>
  <si>
    <t>Автомобильная промышленность</t>
  </si>
  <si>
    <t>Общее машиностроение (в т.ч. оборудование пищевой переработки, дорожногстроительная и сельскохозяйственная техника)</t>
  </si>
  <si>
    <t>Легкая промышленность</t>
  </si>
  <si>
    <t>Производство кокса и нефтепродуктов</t>
  </si>
  <si>
    <t>Химическая промышленность</t>
  </si>
  <si>
    <t>Производство строительных материалов</t>
  </si>
  <si>
    <t>Производство оружия, боеприпасов, спецхимии, военных машин</t>
  </si>
  <si>
    <t>Фармацевтическая промышленность</t>
  </si>
  <si>
    <t>Топливно-энергетический комплекс</t>
  </si>
  <si>
    <t>Медицинская промышленность</t>
  </si>
  <si>
    <t>Кабельная промышленность</t>
  </si>
  <si>
    <t>Деревообрабатывающая</t>
  </si>
  <si>
    <t>Металлургия и металлообработка</t>
  </si>
  <si>
    <t>Полиграфическая деятельность</t>
  </si>
  <si>
    <t>Производство прочих товаров народного потребления</t>
  </si>
  <si>
    <t>Производство напитков</t>
  </si>
  <si>
    <t>Научная деятельность</t>
  </si>
  <si>
    <t>Станкоинструментальная промышленность</t>
  </si>
  <si>
    <t>Судостроение</t>
  </si>
  <si>
    <t>Производство ж/д транспорта</t>
  </si>
  <si>
    <t>Производство бытовой электроники и электрических приборов</t>
  </si>
  <si>
    <t>Аддитивные технологии</t>
  </si>
  <si>
    <t>Подотрасль промышленности</t>
  </si>
  <si>
    <t xml:space="preserve">Молочная отрасль </t>
  </si>
  <si>
    <t>Приборостроение</t>
  </si>
  <si>
    <t xml:space="preserve">Мясная отрасль </t>
  </si>
  <si>
    <t>Сведения отсутствуют</t>
  </si>
  <si>
    <t xml:space="preserve">Кондитерская отрасль </t>
  </si>
  <si>
    <t>Производство прочих машин и оборудования общего назначения</t>
  </si>
  <si>
    <t xml:space="preserve">Хлебопекарная отрасль </t>
  </si>
  <si>
    <t>Рыбная отрасль</t>
  </si>
  <si>
    <t>Производство машин и оборудования общего назначения</t>
  </si>
  <si>
    <t>Производство плодоовощных консервов</t>
  </si>
  <si>
    <t>Электротехника</t>
  </si>
  <si>
    <t>Производство прочих машин специального назначения</t>
  </si>
  <si>
    <t>Микроэлектроника</t>
  </si>
  <si>
    <t xml:space="preserve">Мукомольно-крупяная отрасль </t>
  </si>
  <si>
    <t>Иные отрасли</t>
  </si>
  <si>
    <t>Корма для животных</t>
  </si>
  <si>
    <t>Электротехника/Судостроение</t>
  </si>
  <si>
    <t xml:space="preserve">Сахарная отрасль </t>
  </si>
  <si>
    <t>Производство машин и оборудования для сельского и лесного хозяйства</t>
  </si>
  <si>
    <t xml:space="preserve">Масложировая отрасль </t>
  </si>
  <si>
    <t>Металлообработка</t>
  </si>
  <si>
    <t>Среднесписочная численность персонала, работающего в Москве, чел 2020</t>
  </si>
  <si>
    <t>Среднесписочная численность персонала, работающего в Москве, чел. 2021</t>
  </si>
  <si>
    <t>Средняя з.п. сотрудников, работающих в Москве,  тыс.руб. 2020</t>
  </si>
  <si>
    <t>Средняя з.п. сотрудников, работающих в Москве,  тыс.руб. 2021</t>
  </si>
  <si>
    <t>Налоги, уплаченные в бюджет Москвы, тыс.руб. 2021</t>
  </si>
  <si>
    <t>Налоги, уплаченные в бюджет Москвы, тыс.руб. 2022</t>
  </si>
  <si>
    <t>Налог на прибыль, тыс.руб. 2021</t>
  </si>
  <si>
    <t>Налог на прибыль, тыс.руб. 2022</t>
  </si>
  <si>
    <t>Налог на имущество, тыс.руб. 2021</t>
  </si>
  <si>
    <t>Налог на имущество, тыс.руб. 2022</t>
  </si>
  <si>
    <t>Налог на землю, тыс.руб. 2021</t>
  </si>
  <si>
    <t>Налог на землю, тыс.руб. 2022</t>
  </si>
  <si>
    <t>НДФЛ, тыс.руб. 2021</t>
  </si>
  <si>
    <t>НДФЛ, тыс.руб. 2022</t>
  </si>
  <si>
    <t>Транспортный налог, тыс.руб. 2021</t>
  </si>
  <si>
    <t>Транспортный налог, тыс.руб. 2022</t>
  </si>
  <si>
    <t>Прочие налоги 2021</t>
  </si>
  <si>
    <t>Прочие налоги 2022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</si>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</sst>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3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 applyNumberFormat="0" applyFill="0" applyBorder="0" applyProtection="0"/>
  </cellStyleXfs>
  <cellXfs count="3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</cellXfs>
  <cellStyles count="3">
    <cellStyle name="Обычный" xfId="0" builtinId="0"/>
    <cellStyle name="Обычный 2" xfId="2" xr:uid="{00000000-0005-0000-0000-000001000000}"/>
    <cellStyle name="Финансовый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8"/>
  <sheetViews>
    <sheetView tabSelected="1" topLeftCell="D1" workbookViewId="0">
      <selection activeCell="C1" sqref="C1:C1048576"/>
    </sheetView>
  </sheetViews>
  <sheetFormatPr defaultRowHeight="15" x14ac:dyDescent="0.25"/>
  <cols>
    <col min="1" max="1" width="113.7109375" bestFit="1" customWidth="1"/>
    <col min="2" max="2" width="66.28515625" bestFit="1" customWidth="1"/>
    <col min="3" max="3" width="66.28515625" customWidth="1"/>
    <col min="4" max="4" width="17.7109375" customWidth="1"/>
    <col min="5" max="5" width="20.28515625" customWidth="1"/>
    <col min="6" max="6" width="16.42578125" customWidth="1"/>
    <col min="7" max="7" width="14.7109375" customWidth="1"/>
    <col min="8" max="8" width="16" customWidth="1"/>
    <col min="9" max="9" width="17.28515625" customWidth="1"/>
    <col min="10" max="10" width="16.140625" customWidth="1"/>
    <col min="11" max="11" width="16" customWidth="1"/>
    <col min="12" max="12" width="14.5703125" customWidth="1"/>
    <col min="13" max="13" width="12.85546875" customWidth="1"/>
    <col min="14" max="14" width="13.7109375" customWidth="1"/>
    <col min="15" max="15" width="12.7109375" customWidth="1"/>
    <col min="16" max="16" width="14" customWidth="1"/>
    <col min="17" max="17" width="12.7109375" customWidth="1"/>
    <col min="18" max="18" width="15.140625" customWidth="1"/>
    <col min="19" max="19" width="15.28515625" customWidth="1"/>
    <col min="20" max="20" width="10" customWidth="1"/>
    <col min="21" max="21" width="11.85546875" customWidth="1"/>
  </cols>
  <sheetData>
    <row r="1" spans="1:21" ht="84" customHeight="1" x14ac:dyDescent="0.25">
      <c r="A1" s="1" t="s">
        <v>0</v>
      </c>
      <c r="B1" s="1" t="s">
        <v>26</v>
      </c>
      <c r="C1" s="1" t="s">
        <v>66</v>
      </c>
      <c r="D1" s="2" t="s">
        <v>48</v>
      </c>
      <c r="E1" s="2" t="s">
        <v>49</v>
      </c>
      <c r="F1" s="2" t="s">
        <v>50</v>
      </c>
      <c r="G1" s="2" t="s">
        <v>51</v>
      </c>
      <c r="H1" s="2" t="s">
        <v>52</v>
      </c>
      <c r="I1" s="2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62</v>
      </c>
      <c r="S1" s="2" t="s">
        <v>63</v>
      </c>
      <c r="T1" s="2" t="s">
        <v>64</v>
      </c>
      <c r="U1" s="2" t="s">
        <v>65</v>
      </c>
    </row>
    <row r="2" spans="1:21" x14ac:dyDescent="0.25">
      <c r="A2" t="s">
        <v>1</v>
      </c>
      <c r="B2" t="s">
        <v>27</v>
      </c>
      <c r="C2" t="str">
        <f>_xlfn.CONCAT(A2," - ",B2)</f>
        <v xml:space="preserve">Пищевая промышленность - Молочная отрасль </v>
      </c>
      <c r="D2">
        <v>3341.3064749999999</v>
      </c>
      <c r="E2">
        <v>3281.812175</v>
      </c>
      <c r="F2">
        <v>81.940226830983349</v>
      </c>
      <c r="G2">
        <v>85.596010357448321</v>
      </c>
      <c r="H2">
        <v>794681.88010999991</v>
      </c>
      <c r="I2">
        <v>919608.17058000003</v>
      </c>
      <c r="J2">
        <v>105864.19899999999</v>
      </c>
      <c r="K2">
        <v>270214.85700000002</v>
      </c>
      <c r="L2">
        <v>34989.811999999998</v>
      </c>
      <c r="M2">
        <v>41792.75174</v>
      </c>
      <c r="N2">
        <v>3093.1350000000002</v>
      </c>
      <c r="O2">
        <v>3094.4580000000001</v>
      </c>
      <c r="P2">
        <v>634168.05453999992</v>
      </c>
      <c r="Q2">
        <v>576017.47145000007</v>
      </c>
      <c r="R2">
        <v>1365.8673100000001</v>
      </c>
      <c r="S2">
        <v>119.18774999999999</v>
      </c>
      <c r="T2">
        <v>15200.812260000001</v>
      </c>
      <c r="U2">
        <v>28369.444640000002</v>
      </c>
    </row>
    <row r="3" spans="1:21" x14ac:dyDescent="0.25">
      <c r="A3" t="s">
        <v>2</v>
      </c>
      <c r="B3" t="s">
        <v>28</v>
      </c>
      <c r="C3" t="str">
        <f>_xlfn.CONCAT(A3," - ",B3)</f>
        <v>Радиоэлектроника и приборостроение - Приборостроение</v>
      </c>
      <c r="D3">
        <v>10286</v>
      </c>
      <c r="E3">
        <v>10142</v>
      </c>
      <c r="F3">
        <v>81.400000000000006</v>
      </c>
      <c r="G3">
        <v>96.4</v>
      </c>
      <c r="H3">
        <v>1713044</v>
      </c>
      <c r="I3">
        <v>137776.92325999984</v>
      </c>
      <c r="J3">
        <v>0</v>
      </c>
      <c r="K3">
        <v>-1393920.2436500001</v>
      </c>
      <c r="L3">
        <v>78306</v>
      </c>
      <c r="M3">
        <v>104577.14418999999</v>
      </c>
      <c r="N3">
        <v>52676</v>
      </c>
      <c r="O3">
        <v>40470.707999999999</v>
      </c>
      <c r="P3">
        <v>1580410</v>
      </c>
      <c r="Q3">
        <v>1364131.8608599999</v>
      </c>
      <c r="R3">
        <v>1652</v>
      </c>
      <c r="S3">
        <v>1836.373</v>
      </c>
      <c r="T3">
        <v>0</v>
      </c>
      <c r="U3">
        <v>20681.080859999998</v>
      </c>
    </row>
    <row r="4" spans="1:21" x14ac:dyDescent="0.25">
      <c r="A4" t="s">
        <v>1</v>
      </c>
      <c r="B4" t="s">
        <v>29</v>
      </c>
      <c r="C4" t="str">
        <f>_xlfn.CONCAT(A4," - ",B4)</f>
        <v xml:space="preserve">Пищевая промышленность - Мясная отрасль </v>
      </c>
      <c r="D4">
        <v>4112</v>
      </c>
      <c r="E4">
        <v>3773</v>
      </c>
      <c r="F4">
        <v>66.200262811369811</v>
      </c>
      <c r="G4">
        <v>67.662027224574146</v>
      </c>
      <c r="H4">
        <v>506112.40344000002</v>
      </c>
      <c r="I4">
        <v>837049.2302300001</v>
      </c>
      <c r="J4">
        <v>69642.303709999993</v>
      </c>
      <c r="K4">
        <v>460795.19050000003</v>
      </c>
      <c r="L4">
        <v>4448.6210000000001</v>
      </c>
      <c r="M4">
        <v>6950.9489699999995</v>
      </c>
      <c r="N4">
        <v>0</v>
      </c>
      <c r="O4">
        <v>0</v>
      </c>
      <c r="P4">
        <v>414621.00797999999</v>
      </c>
      <c r="Q4">
        <v>358110.07361000002</v>
      </c>
      <c r="R4">
        <v>474.791</v>
      </c>
      <c r="S4">
        <v>479.28039000000001</v>
      </c>
      <c r="T4">
        <v>16925.679749999999</v>
      </c>
      <c r="U4">
        <v>10713.73676</v>
      </c>
    </row>
    <row r="5" spans="1:21" x14ac:dyDescent="0.25">
      <c r="A5" t="s">
        <v>3</v>
      </c>
      <c r="B5" t="s">
        <v>30</v>
      </c>
      <c r="C5" t="str">
        <f>_xlfn.CONCAT(A5," - ",B5)</f>
        <v>Авиационная промышленность - Сведения отсутствуют</v>
      </c>
      <c r="D5">
        <v>9204.25</v>
      </c>
      <c r="E5">
        <v>7439</v>
      </c>
      <c r="F5">
        <v>90.725491833979078</v>
      </c>
      <c r="G5">
        <v>97.544684965062771</v>
      </c>
      <c r="H5">
        <v>1295545.4872636122</v>
      </c>
      <c r="I5">
        <v>955669.2662500001</v>
      </c>
      <c r="J5">
        <v>15.567333612042102</v>
      </c>
      <c r="K5">
        <v>-35551.684999999998</v>
      </c>
      <c r="L5">
        <v>123054.69399999999</v>
      </c>
      <c r="M5">
        <v>108917.79119</v>
      </c>
      <c r="N5">
        <v>135848.76993000001</v>
      </c>
      <c r="O5">
        <v>12721.929239999999</v>
      </c>
      <c r="P5">
        <v>1014971.7892900001</v>
      </c>
      <c r="Q5">
        <v>817572.18790000002</v>
      </c>
      <c r="R5">
        <v>20434.117999999999</v>
      </c>
      <c r="S5">
        <v>17406.83467</v>
      </c>
      <c r="T5">
        <v>1220.54871</v>
      </c>
      <c r="U5">
        <v>34602.208250000003</v>
      </c>
    </row>
    <row r="6" spans="1:21" x14ac:dyDescent="0.25">
      <c r="A6" t="s">
        <v>4</v>
      </c>
      <c r="B6" t="s">
        <v>30</v>
      </c>
      <c r="C6" t="str">
        <f>_xlfn.CONCAT(A6," - ",B6)</f>
        <v>Автомобильная промышленность - Сведения отсутствуют</v>
      </c>
      <c r="D6">
        <v>3517.9166666666665</v>
      </c>
      <c r="E6">
        <v>3160.8333333333335</v>
      </c>
      <c r="F6">
        <v>106.73919273860001</v>
      </c>
      <c r="G6">
        <v>115.58595953229633</v>
      </c>
      <c r="H6">
        <v>1046110.4191299999</v>
      </c>
      <c r="I6">
        <v>1092828.8751300001</v>
      </c>
      <c r="J6">
        <v>504184.80479000002</v>
      </c>
      <c r="K6">
        <v>538814.90399999998</v>
      </c>
      <c r="L6">
        <v>2599.3270000000002</v>
      </c>
      <c r="M6">
        <v>152997.815</v>
      </c>
      <c r="N6">
        <v>0</v>
      </c>
      <c r="O6">
        <v>0</v>
      </c>
      <c r="P6">
        <v>534704.98199999996</v>
      </c>
      <c r="Q6">
        <v>391793.98706999997</v>
      </c>
      <c r="R6">
        <v>4284.2586799999999</v>
      </c>
      <c r="S6">
        <v>3209.07942</v>
      </c>
      <c r="T6">
        <v>337.04665999999997</v>
      </c>
      <c r="U6">
        <v>6013.0896400000001</v>
      </c>
    </row>
    <row r="7" spans="1:21" x14ac:dyDescent="0.25">
      <c r="A7" t="s">
        <v>1</v>
      </c>
      <c r="B7" t="s">
        <v>31</v>
      </c>
      <c r="C7" t="str">
        <f>_xlfn.CONCAT(A7," - ",B7)</f>
        <v xml:space="preserve">Пищевая промышленность - Кондитерская отрасль </v>
      </c>
      <c r="D7">
        <v>3522.5833333333335</v>
      </c>
      <c r="E7">
        <v>3206</v>
      </c>
      <c r="F7">
        <v>47.621024069929739</v>
      </c>
      <c r="G7">
        <v>54.98588790886879</v>
      </c>
      <c r="H7">
        <v>288517.82208000001</v>
      </c>
      <c r="I7">
        <v>271077.79475000006</v>
      </c>
      <c r="J7">
        <v>0</v>
      </c>
      <c r="K7">
        <v>5405.1189999999997</v>
      </c>
      <c r="L7">
        <v>16016.120999999999</v>
      </c>
      <c r="M7">
        <v>18592.219000000001</v>
      </c>
      <c r="N7">
        <v>3063.8229999999999</v>
      </c>
      <c r="O7">
        <v>3582.8182400000001</v>
      </c>
      <c r="P7">
        <v>267525.49502999999</v>
      </c>
      <c r="Q7">
        <v>241899.06986000002</v>
      </c>
      <c r="R7">
        <v>138.40125</v>
      </c>
      <c r="S7">
        <v>210.56179</v>
      </c>
      <c r="T7">
        <v>1773.9818</v>
      </c>
      <c r="U7">
        <v>1388.0068600000002</v>
      </c>
    </row>
    <row r="8" spans="1:21" x14ac:dyDescent="0.25">
      <c r="A8" t="s">
        <v>5</v>
      </c>
      <c r="B8" t="s">
        <v>30</v>
      </c>
      <c r="C8" t="str">
        <f>_xlfn.CONCAT(A8," - ",B8)</f>
        <v>Общее машиностроение (в т.ч. оборудование пищевой переработки, дорожногстроительная и сельскохозяйственная техника) - Сведения отсутствуют</v>
      </c>
      <c r="D8">
        <v>2777.9166666666665</v>
      </c>
      <c r="E8">
        <v>2670.9166666666665</v>
      </c>
      <c r="F8">
        <v>75.50942839418029</v>
      </c>
      <c r="G8">
        <v>79.768097776668441</v>
      </c>
      <c r="H8">
        <v>518416.63453000004</v>
      </c>
      <c r="I8">
        <v>429814.69073000003</v>
      </c>
      <c r="J8">
        <v>49995.826000000001</v>
      </c>
      <c r="K8">
        <v>7977.2690000000002</v>
      </c>
      <c r="L8">
        <v>17809.952000000001</v>
      </c>
      <c r="M8">
        <v>29510.536660000002</v>
      </c>
      <c r="N8">
        <v>14862.740800000001</v>
      </c>
      <c r="O8">
        <v>18054.26081</v>
      </c>
      <c r="P8">
        <v>329222.587</v>
      </c>
      <c r="Q8">
        <v>288461.06323999999</v>
      </c>
      <c r="R8">
        <v>1567.8017500000001</v>
      </c>
      <c r="S8">
        <v>855.85156000000006</v>
      </c>
      <c r="T8">
        <v>104957.72698000001</v>
      </c>
      <c r="U8">
        <v>84955.709460000013</v>
      </c>
    </row>
    <row r="9" spans="1:21" x14ac:dyDescent="0.25">
      <c r="A9" t="s">
        <v>6</v>
      </c>
      <c r="B9" t="s">
        <v>30</v>
      </c>
      <c r="C9" t="str">
        <f>_xlfn.CONCAT(A9," - ",B9)</f>
        <v>Легкая промышленность - Сведения отсутствуют</v>
      </c>
      <c r="D9">
        <v>1804.75</v>
      </c>
      <c r="E9">
        <v>1975.6666666666667</v>
      </c>
      <c r="F9">
        <v>36.138940586877219</v>
      </c>
      <c r="G9">
        <v>43.596190765986165</v>
      </c>
      <c r="H9">
        <v>48718.141960000008</v>
      </c>
      <c r="I9">
        <v>45639.569570000014</v>
      </c>
      <c r="J9">
        <v>0</v>
      </c>
      <c r="K9">
        <v>1166.1610000000001</v>
      </c>
      <c r="L9">
        <v>19.783000000000001</v>
      </c>
      <c r="M9">
        <v>20.122</v>
      </c>
      <c r="N9">
        <v>0</v>
      </c>
      <c r="O9">
        <v>0</v>
      </c>
      <c r="P9">
        <v>48639.589</v>
      </c>
      <c r="Q9">
        <v>44439.719990000005</v>
      </c>
      <c r="R9">
        <v>25.44</v>
      </c>
      <c r="S9">
        <v>13.336</v>
      </c>
      <c r="T9">
        <v>33.32996</v>
      </c>
      <c r="U9">
        <v>0.23058000000000001</v>
      </c>
    </row>
    <row r="10" spans="1:21" x14ac:dyDescent="0.25">
      <c r="A10" t="s">
        <v>7</v>
      </c>
      <c r="B10" t="s">
        <v>30</v>
      </c>
      <c r="C10" t="str">
        <f>_xlfn.CONCAT(A10," - ",B10)</f>
        <v>Производство кокса и нефтепродуктов - Сведения отсутствуют</v>
      </c>
      <c r="D10">
        <v>2264.5</v>
      </c>
      <c r="E10">
        <v>2302.3333333333335</v>
      </c>
      <c r="F10">
        <v>162.90161780525503</v>
      </c>
      <c r="G10">
        <v>169.57369473649919</v>
      </c>
      <c r="H10">
        <v>2688429.8374900003</v>
      </c>
      <c r="I10">
        <v>1515450.1628100001</v>
      </c>
      <c r="J10">
        <v>538474.96299999999</v>
      </c>
      <c r="K10">
        <v>-328978.30499999999</v>
      </c>
      <c r="L10">
        <v>1204469.672</v>
      </c>
      <c r="M10">
        <v>866402.43625000003</v>
      </c>
      <c r="N10">
        <v>1967.2349999999999</v>
      </c>
      <c r="O10">
        <v>1566.6867500000001</v>
      </c>
      <c r="P10">
        <v>612203.41799999995</v>
      </c>
      <c r="Q10">
        <v>549543.59396000009</v>
      </c>
      <c r="R10">
        <v>2033.7070000000001</v>
      </c>
      <c r="S10">
        <v>826.601</v>
      </c>
      <c r="T10">
        <v>329280.84249000001</v>
      </c>
      <c r="U10">
        <v>426089.14985000005</v>
      </c>
    </row>
    <row r="11" spans="1:21" x14ac:dyDescent="0.25">
      <c r="A11" t="s">
        <v>8</v>
      </c>
      <c r="B11" t="s">
        <v>30</v>
      </c>
      <c r="C11" t="str">
        <f>_xlfn.CONCAT(A11," - ",B11)</f>
        <v>Химическая промышленность - Сведения отсутствуют</v>
      </c>
      <c r="D11">
        <v>1700.0833333333333</v>
      </c>
      <c r="E11">
        <v>1817.1666666666667</v>
      </c>
      <c r="F11">
        <v>87.500007257487383</v>
      </c>
      <c r="G11">
        <v>93.15313212235165</v>
      </c>
      <c r="H11">
        <v>696441.57366999984</v>
      </c>
      <c r="I11">
        <v>287376.18888000003</v>
      </c>
      <c r="J11">
        <v>159374.43299999999</v>
      </c>
      <c r="K11">
        <v>124736.69100000001</v>
      </c>
      <c r="L11">
        <v>5032.6270000000004</v>
      </c>
      <c r="M11">
        <v>5464.2579999999998</v>
      </c>
      <c r="N11">
        <v>555.07100000000003</v>
      </c>
      <c r="O11">
        <v>551.76972999999998</v>
      </c>
      <c r="P11">
        <v>530475.29299999995</v>
      </c>
      <c r="Q11">
        <v>156018.19290999998</v>
      </c>
      <c r="R11">
        <v>192.59700000000001</v>
      </c>
      <c r="S11">
        <v>411.07603999999998</v>
      </c>
      <c r="T11">
        <v>811.55267000000003</v>
      </c>
      <c r="U11">
        <v>194.2012</v>
      </c>
    </row>
    <row r="12" spans="1:21" x14ac:dyDescent="0.25">
      <c r="A12" t="s">
        <v>5</v>
      </c>
      <c r="B12" t="s">
        <v>32</v>
      </c>
      <c r="C12" t="str">
        <f>_xlfn.CONCAT(A12," - ",B12)</f>
        <v>Общее машиностроение (в т.ч. оборудование пищевой переработки, дорожногстроительная и сельскохозяйственная техника) - Производство прочих машин и оборудования общего назначения</v>
      </c>
      <c r="D12">
        <v>1639.25</v>
      </c>
      <c r="E12">
        <v>1392.75</v>
      </c>
      <c r="F12">
        <v>79.410954390727468</v>
      </c>
      <c r="G12">
        <v>84.037898804523422</v>
      </c>
      <c r="H12">
        <v>228101.84261000002</v>
      </c>
      <c r="I12">
        <v>178360.14905000001</v>
      </c>
      <c r="J12">
        <v>29198.561000000002</v>
      </c>
      <c r="K12">
        <v>37381.868000000002</v>
      </c>
      <c r="L12">
        <v>9383.0949999999993</v>
      </c>
      <c r="M12">
        <v>9001.616</v>
      </c>
      <c r="N12">
        <v>0</v>
      </c>
      <c r="O12">
        <v>0</v>
      </c>
      <c r="P12">
        <v>184099.34080000001</v>
      </c>
      <c r="Q12">
        <v>127355.44464</v>
      </c>
      <c r="R12">
        <v>359.77375999999998</v>
      </c>
      <c r="S12">
        <v>244.10565</v>
      </c>
      <c r="T12">
        <v>5061.0720499999998</v>
      </c>
      <c r="U12">
        <v>4377.1147599999995</v>
      </c>
    </row>
    <row r="13" spans="1:21" x14ac:dyDescent="0.25">
      <c r="A13" t="s">
        <v>1</v>
      </c>
      <c r="B13" t="s">
        <v>33</v>
      </c>
      <c r="C13" t="str">
        <f>_xlfn.CONCAT(A13," - ",B13)</f>
        <v xml:space="preserve">Пищевая промышленность - Хлебопекарная отрасль </v>
      </c>
      <c r="D13">
        <v>1853.0833333333333</v>
      </c>
      <c r="E13">
        <v>1838.1666666666667</v>
      </c>
      <c r="F13">
        <v>75.19056210100284</v>
      </c>
      <c r="G13">
        <v>80.304534252425427</v>
      </c>
      <c r="H13">
        <v>314424.37987</v>
      </c>
      <c r="I13">
        <v>529906.96900000004</v>
      </c>
      <c r="J13">
        <v>73115.356599999999</v>
      </c>
      <c r="K13">
        <v>358728.15100000001</v>
      </c>
      <c r="L13">
        <v>1313.0122099999999</v>
      </c>
      <c r="M13">
        <v>1066.489</v>
      </c>
      <c r="N13">
        <v>0</v>
      </c>
      <c r="O13">
        <v>0</v>
      </c>
      <c r="P13">
        <v>233060.72828000001</v>
      </c>
      <c r="Q13">
        <v>169315.15654</v>
      </c>
      <c r="R13">
        <v>8.9250000000000007</v>
      </c>
      <c r="S13">
        <v>5.0999999999999996</v>
      </c>
      <c r="T13">
        <v>6926.3577800000003</v>
      </c>
      <c r="U13">
        <v>792.07245999999998</v>
      </c>
    </row>
    <row r="14" spans="1:21" x14ac:dyDescent="0.25">
      <c r="A14" t="s">
        <v>5</v>
      </c>
      <c r="B14" t="s">
        <v>23</v>
      </c>
      <c r="C14" t="str">
        <f>_xlfn.CONCAT(A14," - ",B14)</f>
        <v>Общее машиностроение (в т.ч. оборудование пищевой переработки, дорожногстроительная и сельскохозяйственная техника) - Производство ж/д транспорта</v>
      </c>
      <c r="D14">
        <v>1164</v>
      </c>
      <c r="E14">
        <v>1143</v>
      </c>
      <c r="F14">
        <v>63.734999999999999</v>
      </c>
      <c r="G14">
        <v>73.028000000000006</v>
      </c>
      <c r="H14">
        <v>298243.49300000002</v>
      </c>
      <c r="I14">
        <v>174803.30109999998</v>
      </c>
      <c r="J14">
        <v>126405</v>
      </c>
      <c r="K14">
        <v>33755.360799999995</v>
      </c>
      <c r="L14">
        <v>8708</v>
      </c>
      <c r="M14">
        <v>6154.1580000000004</v>
      </c>
      <c r="N14">
        <v>4047.56</v>
      </c>
      <c r="O14">
        <v>2424.078</v>
      </c>
      <c r="P14">
        <v>158671</v>
      </c>
      <c r="Q14">
        <v>131764.49030999999</v>
      </c>
      <c r="R14">
        <v>411.93299999999999</v>
      </c>
      <c r="S14">
        <v>599.97423000000003</v>
      </c>
      <c r="T14">
        <v>0</v>
      </c>
      <c r="U14">
        <v>105.23976</v>
      </c>
    </row>
    <row r="15" spans="1:21" x14ac:dyDescent="0.25">
      <c r="A15" t="s">
        <v>9</v>
      </c>
      <c r="B15" t="s">
        <v>30</v>
      </c>
      <c r="C15" t="str">
        <f>_xlfn.CONCAT(A15," - ",B15)</f>
        <v>Производство строительных материалов - Сведения отсутствуют</v>
      </c>
      <c r="D15">
        <v>1239.5833333333333</v>
      </c>
      <c r="E15">
        <v>464.83333333333331</v>
      </c>
      <c r="F15">
        <v>43.725167272605042</v>
      </c>
      <c r="G15">
        <v>63.462368804230906</v>
      </c>
      <c r="H15">
        <v>304720.86812000006</v>
      </c>
      <c r="I15">
        <v>158408.34072000001</v>
      </c>
      <c r="J15">
        <v>233092.36944000001</v>
      </c>
      <c r="K15">
        <v>128997.03387</v>
      </c>
      <c r="L15">
        <v>472.40686999999997</v>
      </c>
      <c r="M15">
        <v>318.17899999999997</v>
      </c>
      <c r="N15">
        <v>0</v>
      </c>
      <c r="O15">
        <v>0</v>
      </c>
      <c r="P15">
        <v>71053.53413</v>
      </c>
      <c r="Q15">
        <v>28949.848030000001</v>
      </c>
      <c r="R15">
        <v>67.52422</v>
      </c>
      <c r="S15">
        <v>99.929820000000007</v>
      </c>
      <c r="T15">
        <v>35.033459999999998</v>
      </c>
      <c r="U15">
        <v>43.35</v>
      </c>
    </row>
    <row r="16" spans="1:21" x14ac:dyDescent="0.25">
      <c r="A16" t="s">
        <v>10</v>
      </c>
      <c r="B16" t="s">
        <v>30</v>
      </c>
      <c r="C16" t="str">
        <f>_xlfn.CONCAT(A16," - ",B16)</f>
        <v>Производство оружия, боеприпасов, спецхимии, военных машин - Сведения отсутствуют</v>
      </c>
      <c r="D16">
        <v>1022.3333333333334</v>
      </c>
      <c r="E16">
        <v>993.33333333333337</v>
      </c>
      <c r="F16">
        <v>82.222226201499836</v>
      </c>
      <c r="G16">
        <v>94.557287551174497</v>
      </c>
      <c r="H16">
        <v>411200.82657999999</v>
      </c>
      <c r="I16">
        <v>1057785.4677800001</v>
      </c>
      <c r="J16">
        <v>267505.00540000002</v>
      </c>
      <c r="K16">
        <v>923297.43200000003</v>
      </c>
      <c r="L16">
        <v>6324.9331600000005</v>
      </c>
      <c r="M16">
        <v>7254.1260000000002</v>
      </c>
      <c r="N16">
        <v>6145.5020100000002</v>
      </c>
      <c r="O16">
        <v>6122.9889899999998</v>
      </c>
      <c r="P16">
        <v>130923.46028</v>
      </c>
      <c r="Q16">
        <v>120380.42989</v>
      </c>
      <c r="R16">
        <v>174.94800000000001</v>
      </c>
      <c r="S16">
        <v>349.39447999999999</v>
      </c>
      <c r="T16">
        <v>126.97772999999999</v>
      </c>
      <c r="U16">
        <v>381.09642000000002</v>
      </c>
    </row>
    <row r="17" spans="1:21" x14ac:dyDescent="0.25">
      <c r="A17" t="s">
        <v>11</v>
      </c>
      <c r="B17" t="s">
        <v>30</v>
      </c>
      <c r="C17" t="str">
        <f>_xlfn.CONCAT(A17," - ",B17)</f>
        <v>Фармацевтическая промышленность - Сведения отсутствуют</v>
      </c>
      <c r="D17">
        <v>3559.3333333333335</v>
      </c>
      <c r="E17">
        <v>3653.8333333333335</v>
      </c>
      <c r="F17">
        <v>87.335052780014991</v>
      </c>
      <c r="G17">
        <v>104.05609604137207</v>
      </c>
      <c r="H17">
        <v>1012277.2644600001</v>
      </c>
      <c r="I17">
        <v>822501.14247000008</v>
      </c>
      <c r="J17">
        <v>9998.3386199999986</v>
      </c>
      <c r="K17">
        <v>34696.767999999996</v>
      </c>
      <c r="L17">
        <v>321914.79589000001</v>
      </c>
      <c r="M17">
        <v>162299.5582</v>
      </c>
      <c r="N17">
        <v>90085.816999999995</v>
      </c>
      <c r="O17">
        <v>86107.381999999998</v>
      </c>
      <c r="P17">
        <v>590077.70995000005</v>
      </c>
      <c r="Q17">
        <v>539168.71348000003</v>
      </c>
      <c r="R17">
        <v>107.723</v>
      </c>
      <c r="S17">
        <v>214.07079000000002</v>
      </c>
      <c r="T17">
        <v>92.88</v>
      </c>
      <c r="U17">
        <v>14.65</v>
      </c>
    </row>
    <row r="18" spans="1:21" x14ac:dyDescent="0.25">
      <c r="A18" t="s">
        <v>12</v>
      </c>
      <c r="B18" t="s">
        <v>30</v>
      </c>
      <c r="C18" t="str">
        <f>_xlfn.CONCAT(A18," - ",B18)</f>
        <v>Топливно-энергетический комплекс - Сведения отсутствуют</v>
      </c>
      <c r="D18">
        <v>861.16666666666663</v>
      </c>
      <c r="E18">
        <v>858.91666666666663</v>
      </c>
      <c r="F18">
        <v>80.87795047996903</v>
      </c>
      <c r="G18">
        <v>86.246787348403998</v>
      </c>
      <c r="H18">
        <v>116767.22024</v>
      </c>
      <c r="I18">
        <v>105092.90641000001</v>
      </c>
      <c r="J18">
        <v>0</v>
      </c>
      <c r="K18">
        <v>0</v>
      </c>
      <c r="L18">
        <v>8.0690000000000008</v>
      </c>
      <c r="M18">
        <v>10.005000000000001</v>
      </c>
      <c r="N18">
        <v>1404.152</v>
      </c>
      <c r="O18">
        <v>1556.89616</v>
      </c>
      <c r="P18">
        <v>115175.29672</v>
      </c>
      <c r="Q18">
        <v>103326.73254000001</v>
      </c>
      <c r="R18">
        <v>178.73</v>
      </c>
      <c r="S18">
        <v>110.94799999999999</v>
      </c>
      <c r="T18">
        <v>0.97251999999999994</v>
      </c>
      <c r="U18">
        <v>88.32471000000001</v>
      </c>
    </row>
    <row r="19" spans="1:21" x14ac:dyDescent="0.25">
      <c r="A19" t="s">
        <v>1</v>
      </c>
      <c r="B19" t="s">
        <v>34</v>
      </c>
      <c r="C19" t="str">
        <f>_xlfn.CONCAT(A19," - ",B19)</f>
        <v>Пищевая промышленность - Рыбная отрасль</v>
      </c>
      <c r="D19">
        <v>1305</v>
      </c>
      <c r="E19">
        <v>1185</v>
      </c>
      <c r="F19">
        <v>50.478889672413793</v>
      </c>
      <c r="G19">
        <v>62.141749533052042</v>
      </c>
      <c r="H19">
        <v>196797.25636000003</v>
      </c>
      <c r="I19">
        <v>220413.49095000001</v>
      </c>
      <c r="J19">
        <v>69708.34262000001</v>
      </c>
      <c r="K19">
        <v>107234.56029000001</v>
      </c>
      <c r="L19">
        <v>12148.734990000001</v>
      </c>
      <c r="M19">
        <v>9654.3696199999995</v>
      </c>
      <c r="N19">
        <v>0</v>
      </c>
      <c r="O19">
        <v>0</v>
      </c>
      <c r="P19">
        <v>110602.467</v>
      </c>
      <c r="Q19">
        <v>103335.47323</v>
      </c>
      <c r="R19">
        <v>210.43095000000002</v>
      </c>
      <c r="S19">
        <v>127.93505</v>
      </c>
      <c r="T19">
        <v>4127.2807999999995</v>
      </c>
      <c r="U19">
        <v>61.152760000000001</v>
      </c>
    </row>
    <row r="20" spans="1:21" x14ac:dyDescent="0.25">
      <c r="A20" t="s">
        <v>13</v>
      </c>
      <c r="B20" t="s">
        <v>30</v>
      </c>
      <c r="C20" t="str">
        <f>_xlfn.CONCAT(A20," - ",B20)</f>
        <v>Медицинская промышленность - Сведения отсутствуют</v>
      </c>
      <c r="D20">
        <v>0</v>
      </c>
      <c r="E20">
        <v>0</v>
      </c>
      <c r="F20">
        <v>0</v>
      </c>
      <c r="G20">
        <v>0</v>
      </c>
      <c r="H20">
        <v>55474.440240000004</v>
      </c>
      <c r="I20">
        <v>18960.482809999998</v>
      </c>
      <c r="J20">
        <v>6510.0029299999997</v>
      </c>
      <c r="K20">
        <v>0</v>
      </c>
      <c r="L20">
        <v>0</v>
      </c>
      <c r="M20">
        <v>0</v>
      </c>
      <c r="N20">
        <v>0</v>
      </c>
      <c r="O20">
        <v>0</v>
      </c>
      <c r="P20">
        <v>46324.40969</v>
      </c>
      <c r="Q20">
        <v>18635.651329999997</v>
      </c>
      <c r="R20">
        <v>198.10849999999999</v>
      </c>
      <c r="S20">
        <v>118.34739</v>
      </c>
      <c r="T20">
        <v>2441.91912</v>
      </c>
      <c r="U20">
        <v>206.48409000000001</v>
      </c>
    </row>
    <row r="21" spans="1:21" x14ac:dyDescent="0.25">
      <c r="A21" t="s">
        <v>14</v>
      </c>
      <c r="B21" t="s">
        <v>30</v>
      </c>
      <c r="C21" t="str">
        <f>_xlfn.CONCAT(A21," - ",B21)</f>
        <v>Кабельная промышленность - Сведения отсутствуют</v>
      </c>
      <c r="D21">
        <v>716.58333333333337</v>
      </c>
      <c r="E21">
        <v>763.33333333333337</v>
      </c>
      <c r="F21">
        <v>77.844762344458658</v>
      </c>
      <c r="G21">
        <v>77.845833537117898</v>
      </c>
      <c r="H21">
        <v>121575.37325999999</v>
      </c>
      <c r="I21">
        <v>149753.69732000001</v>
      </c>
      <c r="J21">
        <v>14675.89335</v>
      </c>
      <c r="K21">
        <v>51325.523829999998</v>
      </c>
      <c r="L21">
        <v>9950.4030000000002</v>
      </c>
      <c r="M21">
        <v>15644.184080000001</v>
      </c>
      <c r="N21">
        <v>1091.9860000000001</v>
      </c>
      <c r="O21">
        <v>1353.229</v>
      </c>
      <c r="P21">
        <v>92449.248999999996</v>
      </c>
      <c r="Q21">
        <v>79439.110260000001</v>
      </c>
      <c r="R21">
        <v>524.62699999999995</v>
      </c>
      <c r="S21">
        <v>307.10809</v>
      </c>
      <c r="T21">
        <v>2883.2149100000001</v>
      </c>
      <c r="U21">
        <v>1684.54206</v>
      </c>
    </row>
    <row r="22" spans="1:21" x14ac:dyDescent="0.25">
      <c r="A22" t="s">
        <v>5</v>
      </c>
      <c r="B22" t="s">
        <v>35</v>
      </c>
      <c r="C22" t="str">
        <f>_xlfn.CONCAT(A22," - ",B22)</f>
        <v>Общее машиностроение (в т.ч. оборудование пищевой переработки, дорожногстроительная и сельскохозяйственная техника) - Производство машин и оборудования общего назначения</v>
      </c>
      <c r="D22">
        <v>268.91666666666669</v>
      </c>
      <c r="E22">
        <v>251.75</v>
      </c>
      <c r="F22">
        <v>90.492013253796102</v>
      </c>
      <c r="G22">
        <v>91.850230317775569</v>
      </c>
      <c r="H22">
        <v>49784.978240000004</v>
      </c>
      <c r="I22">
        <v>49864.154889999998</v>
      </c>
      <c r="J22">
        <v>432.298</v>
      </c>
      <c r="K22">
        <v>-4.1782200000000005</v>
      </c>
      <c r="L22">
        <v>10952.915999999999</v>
      </c>
      <c r="M22">
        <v>14529.86822</v>
      </c>
      <c r="N22">
        <v>0</v>
      </c>
      <c r="O22">
        <v>0</v>
      </c>
      <c r="P22">
        <v>35969.14</v>
      </c>
      <c r="Q22">
        <v>33701.072479999995</v>
      </c>
      <c r="R22">
        <v>123.28100000000001</v>
      </c>
      <c r="S22">
        <v>66.188999999999993</v>
      </c>
      <c r="T22">
        <v>2307.3432400000002</v>
      </c>
      <c r="U22">
        <v>1571.2034099999998</v>
      </c>
    </row>
    <row r="23" spans="1:21" x14ac:dyDescent="0.25">
      <c r="A23" t="s">
        <v>15</v>
      </c>
      <c r="B23" t="s">
        <v>30</v>
      </c>
      <c r="C23" t="str">
        <f>_xlfn.CONCAT(A23," - ",B23)</f>
        <v>Деревообрабатывающая - Сведения отсутствуют</v>
      </c>
      <c r="D23">
        <v>290.25</v>
      </c>
      <c r="E23">
        <v>818</v>
      </c>
      <c r="F23">
        <v>86.849922021246059</v>
      </c>
      <c r="G23">
        <v>98.05698778524858</v>
      </c>
      <c r="H23">
        <v>97533.924740000002</v>
      </c>
      <c r="I23">
        <v>105947.74259000001</v>
      </c>
      <c r="J23">
        <v>41214.796000000002</v>
      </c>
      <c r="K23">
        <v>55010.331200000001</v>
      </c>
      <c r="L23">
        <v>5431.6172699999997</v>
      </c>
      <c r="M23">
        <v>4293.0001099999999</v>
      </c>
      <c r="N23">
        <v>5731.1637599999995</v>
      </c>
      <c r="O23">
        <v>6448.7535900000003</v>
      </c>
      <c r="P23">
        <v>44933.25</v>
      </c>
      <c r="Q23">
        <v>38038.11464</v>
      </c>
      <c r="R23">
        <v>167.95977999999999</v>
      </c>
      <c r="S23">
        <v>48.44</v>
      </c>
      <c r="T23">
        <v>55.137929999999997</v>
      </c>
      <c r="U23">
        <v>2109.1030499999997</v>
      </c>
    </row>
    <row r="24" spans="1:21" x14ac:dyDescent="0.25">
      <c r="A24" t="s">
        <v>16</v>
      </c>
      <c r="B24" t="s">
        <v>30</v>
      </c>
      <c r="C24" t="str">
        <f>_xlfn.CONCAT(A24," - ",B24)</f>
        <v>Металлургия и металлообработка - Сведения отсутствуют</v>
      </c>
      <c r="D24">
        <v>317</v>
      </c>
      <c r="E24">
        <v>352.16666666666669</v>
      </c>
      <c r="F24">
        <v>26.932426863827551</v>
      </c>
      <c r="G24">
        <v>31.575285582110745</v>
      </c>
      <c r="H24">
        <v>54402.915780000003</v>
      </c>
      <c r="I24">
        <v>52896.29404999999</v>
      </c>
      <c r="J24">
        <v>32583.499</v>
      </c>
      <c r="K24">
        <v>19309.824659999998</v>
      </c>
      <c r="L24">
        <v>16.681000000000001</v>
      </c>
      <c r="M24">
        <v>5.5460000000000003</v>
      </c>
      <c r="N24">
        <v>0</v>
      </c>
      <c r="O24">
        <v>0</v>
      </c>
      <c r="P24">
        <v>15844.722</v>
      </c>
      <c r="Q24">
        <v>12865.94376</v>
      </c>
      <c r="R24">
        <v>1163.1329599999999</v>
      </c>
      <c r="S24">
        <v>3129.1767</v>
      </c>
      <c r="T24">
        <v>4794.8808200000003</v>
      </c>
      <c r="U24">
        <v>17585.802929999998</v>
      </c>
    </row>
    <row r="25" spans="1:21" x14ac:dyDescent="0.25">
      <c r="A25" t="s">
        <v>17</v>
      </c>
      <c r="B25" t="s">
        <v>30</v>
      </c>
      <c r="C25" t="str">
        <f>_xlfn.CONCAT(A25," - ",B25)</f>
        <v>Полиграфическая деятельность - Сведения отсутствуют</v>
      </c>
      <c r="D25">
        <v>234.91666666666666</v>
      </c>
      <c r="E25">
        <v>224.25</v>
      </c>
      <c r="F25">
        <v>46.859836140475345</v>
      </c>
      <c r="G25">
        <v>55.15703922705314</v>
      </c>
      <c r="H25">
        <v>44502.136899999998</v>
      </c>
      <c r="I25">
        <v>41486.219939999995</v>
      </c>
      <c r="J25">
        <v>8769</v>
      </c>
      <c r="K25">
        <v>10342.785</v>
      </c>
      <c r="L25">
        <v>9055.59</v>
      </c>
      <c r="M25">
        <v>7373.1090000000004</v>
      </c>
      <c r="N25">
        <v>0</v>
      </c>
      <c r="O25">
        <v>0</v>
      </c>
      <c r="P25">
        <v>17754.755000000001</v>
      </c>
      <c r="Q25">
        <v>16989.291109999998</v>
      </c>
      <c r="R25">
        <v>15.521000000000001</v>
      </c>
      <c r="S25">
        <v>7.7910000000000004</v>
      </c>
      <c r="T25">
        <v>8907.2708999999995</v>
      </c>
      <c r="U25">
        <v>6773.2438300000003</v>
      </c>
    </row>
    <row r="26" spans="1:21" x14ac:dyDescent="0.25">
      <c r="A26" t="s">
        <v>1</v>
      </c>
      <c r="B26" t="s">
        <v>36</v>
      </c>
      <c r="C26" t="str">
        <f>_xlfn.CONCAT(A26," - ",B26)</f>
        <v>Пищевая промышленность - Производство плодоовощных консервов</v>
      </c>
      <c r="D26">
        <v>78</v>
      </c>
      <c r="E26">
        <v>113</v>
      </c>
      <c r="F26">
        <v>0</v>
      </c>
      <c r="G26">
        <v>0</v>
      </c>
      <c r="H26">
        <v>9566.4248499999994</v>
      </c>
      <c r="I26">
        <v>25061.476160000002</v>
      </c>
      <c r="J26">
        <v>1161.5160000000001</v>
      </c>
      <c r="K26">
        <v>14905.38917</v>
      </c>
      <c r="L26">
        <v>0</v>
      </c>
      <c r="M26">
        <v>2199.877</v>
      </c>
      <c r="N26">
        <v>0</v>
      </c>
      <c r="O26">
        <v>0</v>
      </c>
      <c r="P26">
        <v>8387.1669999999995</v>
      </c>
      <c r="Q26">
        <v>7853.1657000000005</v>
      </c>
      <c r="R26">
        <v>0</v>
      </c>
      <c r="S26">
        <v>0</v>
      </c>
      <c r="T26">
        <v>17.741849999999999</v>
      </c>
      <c r="U26">
        <v>103.04429</v>
      </c>
    </row>
    <row r="27" spans="1:21" x14ac:dyDescent="0.25">
      <c r="A27" t="s">
        <v>18</v>
      </c>
      <c r="B27" t="s">
        <v>30</v>
      </c>
      <c r="C27" t="str">
        <f>_xlfn.CONCAT(A27," - ",B27)</f>
        <v>Производство прочих товаров народного потребления - Сведения отсутствуют</v>
      </c>
      <c r="D27">
        <v>290.58333333333331</v>
      </c>
      <c r="E27">
        <v>187.16666666666666</v>
      </c>
      <c r="F27">
        <v>17.324158568970461</v>
      </c>
      <c r="G27">
        <v>25.520832114870881</v>
      </c>
      <c r="H27">
        <v>8213.6795099999999</v>
      </c>
      <c r="I27">
        <v>7455.3361399999994</v>
      </c>
      <c r="J27">
        <v>935.19100000000003</v>
      </c>
      <c r="K27">
        <v>1266.412</v>
      </c>
      <c r="L27">
        <v>0</v>
      </c>
      <c r="M27">
        <v>0</v>
      </c>
      <c r="N27">
        <v>0</v>
      </c>
      <c r="O27">
        <v>0</v>
      </c>
      <c r="P27">
        <v>7070.8379800000002</v>
      </c>
      <c r="Q27">
        <v>6010.0181399999992</v>
      </c>
      <c r="R27">
        <v>102.40053</v>
      </c>
      <c r="S27">
        <v>111.60599999999999</v>
      </c>
      <c r="T27">
        <v>105.25</v>
      </c>
      <c r="U27">
        <v>67.3</v>
      </c>
    </row>
    <row r="28" spans="1:21" x14ac:dyDescent="0.25">
      <c r="A28" t="s">
        <v>2</v>
      </c>
      <c r="B28" t="s">
        <v>37</v>
      </c>
      <c r="C28" t="str">
        <f>_xlfn.CONCAT(A28," - ",B28)</f>
        <v>Радиоэлектроника и приборостроение - Электротехника</v>
      </c>
      <c r="D28">
        <v>801</v>
      </c>
      <c r="E28">
        <v>795</v>
      </c>
      <c r="F28">
        <v>69.022856463726598</v>
      </c>
      <c r="G28">
        <v>68.816927180290222</v>
      </c>
      <c r="H28">
        <v>98432.163579999993</v>
      </c>
      <c r="I28">
        <v>86513.208979999996</v>
      </c>
      <c r="J28">
        <v>7400</v>
      </c>
      <c r="K28">
        <v>9916.4245500000015</v>
      </c>
      <c r="L28">
        <v>8749.3160000000007</v>
      </c>
      <c r="M28">
        <v>6728.3710000000001</v>
      </c>
      <c r="N28">
        <v>683.93199000000004</v>
      </c>
      <c r="O28">
        <v>527.18399999999997</v>
      </c>
      <c r="P28">
        <v>79172.866999999998</v>
      </c>
      <c r="Q28">
        <v>67271.22206</v>
      </c>
      <c r="R28">
        <v>209.39599999999999</v>
      </c>
      <c r="S28">
        <v>89.986999999999995</v>
      </c>
      <c r="T28">
        <v>2216.6525899999997</v>
      </c>
      <c r="U28">
        <v>1980.0203700000002</v>
      </c>
    </row>
    <row r="29" spans="1:21" x14ac:dyDescent="0.25">
      <c r="A29" t="s">
        <v>19</v>
      </c>
      <c r="B29" t="s">
        <v>30</v>
      </c>
      <c r="C29" t="str">
        <f>_xlfn.CONCAT(A29," - ",B29)</f>
        <v>Производство напитков - Сведения отсутствуют</v>
      </c>
      <c r="D29">
        <v>127.91666666666667</v>
      </c>
      <c r="E29">
        <v>113.66666666666667</v>
      </c>
      <c r="F29">
        <v>117.22950429315961</v>
      </c>
      <c r="G29">
        <v>101.06909109237537</v>
      </c>
      <c r="H29">
        <v>26867.488840000002</v>
      </c>
      <c r="I29">
        <v>21232.640599999999</v>
      </c>
      <c r="J29">
        <v>1278.3109999999999</v>
      </c>
      <c r="K29">
        <v>246.23699999999999</v>
      </c>
      <c r="L29">
        <v>873.99198000000001</v>
      </c>
      <c r="M29">
        <v>0</v>
      </c>
      <c r="N29">
        <v>0</v>
      </c>
      <c r="O29">
        <v>0</v>
      </c>
      <c r="P29">
        <v>15580.262650000001</v>
      </c>
      <c r="Q29">
        <v>14913.68334</v>
      </c>
      <c r="R29">
        <v>46.780389999999997</v>
      </c>
      <c r="S29">
        <v>57.603529999999999</v>
      </c>
      <c r="T29">
        <v>9088.1428200000009</v>
      </c>
      <c r="U29">
        <v>6015.1167300000006</v>
      </c>
    </row>
    <row r="30" spans="1:21" x14ac:dyDescent="0.25">
      <c r="A30" t="s">
        <v>5</v>
      </c>
      <c r="B30" t="s">
        <v>38</v>
      </c>
      <c r="C30" t="str">
        <f>_xlfn.CONCAT(A30," - ",B30)</f>
        <v>Общее машиностроение (в т.ч. оборудование пищевой переработки, дорожногстроительная и сельскохозяйственная техника) - Производство прочих машин специального назначения</v>
      </c>
      <c r="D30">
        <v>429.66666666666669</v>
      </c>
      <c r="E30">
        <v>421.91666666666669</v>
      </c>
      <c r="F30">
        <v>48.544550857253682</v>
      </c>
      <c r="G30">
        <v>53.271960616235432</v>
      </c>
      <c r="H30">
        <v>61948.413220000009</v>
      </c>
      <c r="I30">
        <v>57807.138429999999</v>
      </c>
      <c r="J30">
        <v>17753.250899999999</v>
      </c>
      <c r="K30">
        <v>17638.501700000001</v>
      </c>
      <c r="L30">
        <v>8716.6990000000005</v>
      </c>
      <c r="M30">
        <v>8250.1290000000008</v>
      </c>
      <c r="N30">
        <v>0</v>
      </c>
      <c r="O30">
        <v>0</v>
      </c>
      <c r="P30">
        <v>34700.327020000004</v>
      </c>
      <c r="Q30">
        <v>31767.62802</v>
      </c>
      <c r="R30">
        <v>325.31497999999999</v>
      </c>
      <c r="S30">
        <v>116.633</v>
      </c>
      <c r="T30">
        <v>452.82132000000001</v>
      </c>
      <c r="U30">
        <v>34.246710000000007</v>
      </c>
    </row>
    <row r="31" spans="1:21" x14ac:dyDescent="0.25">
      <c r="A31" t="s">
        <v>5</v>
      </c>
      <c r="B31" t="s">
        <v>21</v>
      </c>
      <c r="C31" t="str">
        <f>_xlfn.CONCAT(A31," - ",B31)</f>
        <v>Общее машиностроение (в т.ч. оборудование пищевой переработки, дорожногстроительная и сельскохозяйственная техника) - Станкоинструментальная промышленность</v>
      </c>
      <c r="D31">
        <v>137.08333333333334</v>
      </c>
      <c r="E31">
        <v>129.75</v>
      </c>
      <c r="F31">
        <v>74.983976474164137</v>
      </c>
      <c r="G31">
        <v>83.163065664739889</v>
      </c>
      <c r="H31">
        <v>24478.594389999998</v>
      </c>
      <c r="I31">
        <v>9692.8441199999997</v>
      </c>
      <c r="J31">
        <v>9045.3978499999994</v>
      </c>
      <c r="K31">
        <v>-1.7498800000000001</v>
      </c>
      <c r="L31">
        <v>0</v>
      </c>
      <c r="M31">
        <v>78.519000000000005</v>
      </c>
      <c r="N31">
        <v>0</v>
      </c>
      <c r="O31">
        <v>0</v>
      </c>
      <c r="P31">
        <v>15404.455539999999</v>
      </c>
      <c r="Q31">
        <v>9583.8608299999996</v>
      </c>
      <c r="R31">
        <v>28.741</v>
      </c>
      <c r="S31">
        <v>31.714169999999999</v>
      </c>
      <c r="T31">
        <v>0</v>
      </c>
      <c r="U31">
        <v>0.5</v>
      </c>
    </row>
    <row r="32" spans="1:21" x14ac:dyDescent="0.25">
      <c r="A32" t="s">
        <v>2</v>
      </c>
      <c r="B32" t="s">
        <v>39</v>
      </c>
      <c r="C32" t="str">
        <f>_xlfn.CONCAT(A32," - ",B32)</f>
        <v>Радиоэлектроника и приборостроение - Микроэлектроника</v>
      </c>
      <c r="D32">
        <v>433.7</v>
      </c>
      <c r="E32">
        <v>414.1</v>
      </c>
      <c r="F32">
        <v>67</v>
      </c>
      <c r="G32">
        <v>77.099999999999994</v>
      </c>
      <c r="H32">
        <v>62006</v>
      </c>
      <c r="I32">
        <v>109764.36011000001</v>
      </c>
      <c r="J32">
        <v>2980</v>
      </c>
      <c r="K32">
        <v>9372.8244400000003</v>
      </c>
      <c r="L32">
        <v>12095</v>
      </c>
      <c r="M32">
        <v>52677.857229999994</v>
      </c>
      <c r="N32">
        <v>0</v>
      </c>
      <c r="O32">
        <v>0</v>
      </c>
      <c r="P32">
        <v>45379</v>
      </c>
      <c r="Q32">
        <v>46254.198779999999</v>
      </c>
      <c r="R32">
        <v>150</v>
      </c>
      <c r="S32">
        <v>165.21145999999999</v>
      </c>
      <c r="T32">
        <v>1402</v>
      </c>
      <c r="U32">
        <v>1294.2682</v>
      </c>
    </row>
    <row r="33" spans="1:21" x14ac:dyDescent="0.25">
      <c r="A33" t="s">
        <v>1</v>
      </c>
      <c r="B33" t="s">
        <v>40</v>
      </c>
      <c r="C33" t="str">
        <f>_xlfn.CONCAT(A33," - ",B33)</f>
        <v xml:space="preserve">Пищевая промышленность - Мукомольно-крупяная отрасль </v>
      </c>
      <c r="D33">
        <v>280.75</v>
      </c>
      <c r="E33">
        <v>282.5</v>
      </c>
      <c r="F33">
        <v>104.04452773226477</v>
      </c>
      <c r="G33">
        <v>94.45737763421829</v>
      </c>
      <c r="H33">
        <v>121235.54723</v>
      </c>
      <c r="I33">
        <v>132145.22495999999</v>
      </c>
      <c r="J33">
        <v>72726.106</v>
      </c>
      <c r="K33">
        <v>86518.555999999997</v>
      </c>
      <c r="L33">
        <v>1691.8330000000001</v>
      </c>
      <c r="M33">
        <v>4825.7569999999996</v>
      </c>
      <c r="N33">
        <v>1214.579</v>
      </c>
      <c r="O33">
        <v>1232.1110100000001</v>
      </c>
      <c r="P33">
        <v>41316.097999999998</v>
      </c>
      <c r="Q33">
        <v>36302.826970000002</v>
      </c>
      <c r="R33">
        <v>2551.5509999999999</v>
      </c>
      <c r="S33">
        <v>1505.652</v>
      </c>
      <c r="T33">
        <v>1735.38023</v>
      </c>
      <c r="U33">
        <v>1760.3219799999999</v>
      </c>
    </row>
    <row r="34" spans="1:21" x14ac:dyDescent="0.25">
      <c r="A34" t="s">
        <v>1</v>
      </c>
      <c r="B34" t="s">
        <v>41</v>
      </c>
      <c r="C34" t="str">
        <f>_xlfn.CONCAT(A34," - ",B34)</f>
        <v>Пищевая промышленность - Иные отрасли</v>
      </c>
      <c r="D34">
        <v>217.75</v>
      </c>
      <c r="E34">
        <v>206.16666666666666</v>
      </c>
      <c r="F34">
        <v>67.192422051282051</v>
      </c>
      <c r="G34">
        <v>86.139618734842401</v>
      </c>
      <c r="H34">
        <v>40242.960000000006</v>
      </c>
      <c r="I34">
        <v>39089.499229999994</v>
      </c>
      <c r="J34">
        <v>13924.887000000001</v>
      </c>
      <c r="K34">
        <v>12546.304</v>
      </c>
      <c r="L34">
        <v>0</v>
      </c>
      <c r="M34">
        <v>0</v>
      </c>
      <c r="N34">
        <v>0</v>
      </c>
      <c r="O34">
        <v>0</v>
      </c>
      <c r="P34">
        <v>26273.686000000002</v>
      </c>
      <c r="Q34">
        <v>26499.57963</v>
      </c>
      <c r="R34">
        <v>43.387</v>
      </c>
      <c r="S34">
        <v>19.615599999999997</v>
      </c>
      <c r="T34">
        <v>1</v>
      </c>
      <c r="U34">
        <v>24</v>
      </c>
    </row>
    <row r="35" spans="1:21" x14ac:dyDescent="0.25">
      <c r="A35" t="s">
        <v>1</v>
      </c>
      <c r="B35" t="s">
        <v>19</v>
      </c>
      <c r="C35" t="str">
        <f>_xlfn.CONCAT(A35," - ",B35)</f>
        <v>Пищевая промышленность - Производство напитков</v>
      </c>
      <c r="D35">
        <v>1427</v>
      </c>
      <c r="E35">
        <v>1420</v>
      </c>
      <c r="F35">
        <v>140.80500000000001</v>
      </c>
      <c r="G35">
        <v>147.84524999999999</v>
      </c>
      <c r="H35">
        <v>945369.59766999993</v>
      </c>
      <c r="I35">
        <v>934797.35194000008</v>
      </c>
      <c r="J35">
        <v>532781.66797000007</v>
      </c>
      <c r="K35">
        <v>559231.47475000005</v>
      </c>
      <c r="L35">
        <v>21495.013999999999</v>
      </c>
      <c r="M35">
        <v>16961.985000000001</v>
      </c>
      <c r="N35">
        <v>9434.2180000000008</v>
      </c>
      <c r="O35">
        <v>11395.001</v>
      </c>
      <c r="P35">
        <v>374401.03200000001</v>
      </c>
      <c r="Q35">
        <v>338495.77671000001</v>
      </c>
      <c r="R35">
        <v>2035.048</v>
      </c>
      <c r="S35">
        <v>3177.5056500000001</v>
      </c>
      <c r="T35">
        <v>5222.6176999999998</v>
      </c>
      <c r="U35">
        <v>5535.6088300000001</v>
      </c>
    </row>
    <row r="36" spans="1:21" x14ac:dyDescent="0.25">
      <c r="A36" t="s">
        <v>20</v>
      </c>
      <c r="B36" t="s">
        <v>30</v>
      </c>
      <c r="C36" t="str">
        <f>_xlfn.CONCAT(A36," - ",B36)</f>
        <v>Научная деятельность - Сведения отсутствуют</v>
      </c>
      <c r="D36">
        <v>380.08333333333331</v>
      </c>
      <c r="E36">
        <v>384</v>
      </c>
      <c r="F36">
        <v>66.032627222100416</v>
      </c>
      <c r="G36">
        <v>78.776249168836799</v>
      </c>
      <c r="H36">
        <v>53971.821669999998</v>
      </c>
      <c r="I36">
        <v>56476.405979999996</v>
      </c>
      <c r="J36">
        <v>3211.462</v>
      </c>
      <c r="K36">
        <v>7679.8040000000001</v>
      </c>
      <c r="L36">
        <v>5461.3059999999996</v>
      </c>
      <c r="M36">
        <v>17066.580999999998</v>
      </c>
      <c r="N36">
        <v>2814.067</v>
      </c>
      <c r="O36">
        <v>2825.7750000000001</v>
      </c>
      <c r="P36">
        <v>42479.986669999998</v>
      </c>
      <c r="Q36">
        <v>28904.24598</v>
      </c>
      <c r="R36">
        <v>0</v>
      </c>
      <c r="S36">
        <v>0</v>
      </c>
      <c r="T36">
        <v>5</v>
      </c>
      <c r="U36">
        <v>0</v>
      </c>
    </row>
    <row r="37" spans="1:21" x14ac:dyDescent="0.25">
      <c r="A37" t="s">
        <v>21</v>
      </c>
      <c r="B37" t="s">
        <v>30</v>
      </c>
      <c r="C37" t="str">
        <f>_xlfn.CONCAT(A37," - ",B37)</f>
        <v>Станкоинструментальная промышленность - Сведения отсутствуют</v>
      </c>
      <c r="D37">
        <v>100.33333333333333</v>
      </c>
      <c r="E37">
        <v>100.58333333333333</v>
      </c>
      <c r="F37">
        <v>65.39814710963455</v>
      </c>
      <c r="G37">
        <v>69.73716910521955</v>
      </c>
      <c r="H37">
        <v>45123.198450000004</v>
      </c>
      <c r="I37">
        <v>55264.997320000002</v>
      </c>
      <c r="J37">
        <v>9179.0109600000014</v>
      </c>
      <c r="K37">
        <v>3164.15</v>
      </c>
      <c r="L37">
        <v>17278</v>
      </c>
      <c r="M37">
        <v>33259.633000000002</v>
      </c>
      <c r="N37">
        <v>7756</v>
      </c>
      <c r="O37">
        <v>9545.2000000000007</v>
      </c>
      <c r="P37">
        <v>10745.977999999999</v>
      </c>
      <c r="Q37">
        <v>9262.5177399999993</v>
      </c>
      <c r="R37">
        <v>19.071999999999999</v>
      </c>
      <c r="S37">
        <v>12.4</v>
      </c>
      <c r="T37">
        <v>145.13748999999999</v>
      </c>
      <c r="U37">
        <v>21.096580000000003</v>
      </c>
    </row>
    <row r="38" spans="1:21" x14ac:dyDescent="0.25">
      <c r="A38" t="s">
        <v>1</v>
      </c>
      <c r="B38" t="s">
        <v>42</v>
      </c>
      <c r="C38" t="str">
        <f>_xlfn.CONCAT(A38," - ",B38)</f>
        <v>Пищевая промышленность - Корма для животных</v>
      </c>
      <c r="D38">
        <v>138.91666666666666</v>
      </c>
      <c r="E38">
        <v>136.5</v>
      </c>
      <c r="F38">
        <v>54.59345168566287</v>
      </c>
      <c r="G38">
        <v>58.842987264957266</v>
      </c>
      <c r="H38">
        <v>17369.33956</v>
      </c>
      <c r="I38">
        <v>19350.03903</v>
      </c>
      <c r="J38">
        <v>1524.873</v>
      </c>
      <c r="K38">
        <v>0</v>
      </c>
      <c r="L38">
        <v>3034.8404599999999</v>
      </c>
      <c r="M38">
        <v>1205.6130000000001</v>
      </c>
      <c r="N38">
        <v>0</v>
      </c>
      <c r="O38">
        <v>0</v>
      </c>
      <c r="P38">
        <v>12419.502539999999</v>
      </c>
      <c r="Q38">
        <v>9350.0748000000003</v>
      </c>
      <c r="R38">
        <v>1.72</v>
      </c>
      <c r="S38">
        <v>3.11</v>
      </c>
      <c r="T38">
        <v>388.40355999999997</v>
      </c>
      <c r="U38">
        <v>8791.2412299999996</v>
      </c>
    </row>
    <row r="39" spans="1:21" x14ac:dyDescent="0.25">
      <c r="A39" t="s">
        <v>22</v>
      </c>
      <c r="B39" t="s">
        <v>30</v>
      </c>
      <c r="C39" t="str">
        <f>_xlfn.CONCAT(A39," - ",B39)</f>
        <v>Судостроение - Сведения отсутствуют</v>
      </c>
      <c r="D39">
        <v>145.25</v>
      </c>
      <c r="E39">
        <v>142.58333333333334</v>
      </c>
      <c r="F39">
        <v>86.809005479059095</v>
      </c>
      <c r="G39">
        <v>90.534971139684401</v>
      </c>
      <c r="H39">
        <v>24010.54</v>
      </c>
      <c r="I39">
        <v>31774.410960000001</v>
      </c>
      <c r="J39">
        <v>564.50599999999997</v>
      </c>
      <c r="K39">
        <v>6626.9449999999997</v>
      </c>
      <c r="L39">
        <v>2639.2469999999998</v>
      </c>
      <c r="M39">
        <v>2513.1301699999999</v>
      </c>
      <c r="N39">
        <v>1338.2940000000001</v>
      </c>
      <c r="O39">
        <v>897.78404</v>
      </c>
      <c r="P39">
        <v>19433.432000000001</v>
      </c>
      <c r="Q39">
        <v>21695.88895</v>
      </c>
      <c r="R39">
        <v>27.061</v>
      </c>
      <c r="S39">
        <v>40.662800000000004</v>
      </c>
      <c r="T39">
        <v>8</v>
      </c>
      <c r="U39">
        <v>0</v>
      </c>
    </row>
    <row r="40" spans="1:21" x14ac:dyDescent="0.25">
      <c r="A40" t="s">
        <v>2</v>
      </c>
      <c r="B40" t="s">
        <v>43</v>
      </c>
      <c r="C40" t="str">
        <f>_xlfn.CONCAT(A40," - ",B40)</f>
        <v>Радиоэлектроника и приборостроение - Электротехника/Судостроение</v>
      </c>
      <c r="D40">
        <v>101.58333333333333</v>
      </c>
      <c r="E40">
        <v>101.75</v>
      </c>
      <c r="F40">
        <v>33.579374889253486</v>
      </c>
      <c r="G40">
        <v>39.349350728910728</v>
      </c>
      <c r="H40">
        <v>8081.5448900000001</v>
      </c>
      <c r="I40">
        <v>6735.5066500000003</v>
      </c>
      <c r="J40">
        <v>851.03706999999997</v>
      </c>
      <c r="K40">
        <v>-0.18953999999999999</v>
      </c>
      <c r="L40">
        <v>0</v>
      </c>
      <c r="M40">
        <v>0</v>
      </c>
      <c r="N40">
        <v>0</v>
      </c>
      <c r="O40">
        <v>0</v>
      </c>
      <c r="P40">
        <v>6905.28982</v>
      </c>
      <c r="Q40">
        <v>6728.4159200000004</v>
      </c>
      <c r="R40">
        <v>13.53111</v>
      </c>
      <c r="S40">
        <v>4.7802700000000007</v>
      </c>
      <c r="T40">
        <v>311.68689000000001</v>
      </c>
      <c r="U40">
        <v>2.5</v>
      </c>
    </row>
    <row r="41" spans="1:21" x14ac:dyDescent="0.25">
      <c r="A41" t="s">
        <v>23</v>
      </c>
      <c r="B41" t="s">
        <v>30</v>
      </c>
      <c r="C41" t="str">
        <f>_xlfn.CONCAT(A41," - ",B41)</f>
        <v>Производство ж/д транспорта - Сведения отсутствуют</v>
      </c>
      <c r="D41">
        <v>124.58333333333333</v>
      </c>
      <c r="E41">
        <v>121.58333333333333</v>
      </c>
      <c r="F41">
        <v>75.53306030769231</v>
      </c>
      <c r="G41">
        <v>85.659198211103501</v>
      </c>
      <c r="H41">
        <v>34963.461000000003</v>
      </c>
      <c r="I41">
        <v>28062.421689999999</v>
      </c>
      <c r="J41">
        <v>13357.675999999999</v>
      </c>
      <c r="K41">
        <v>13084.53246</v>
      </c>
      <c r="L41">
        <v>0</v>
      </c>
      <c r="M41">
        <v>0</v>
      </c>
      <c r="N41">
        <v>0</v>
      </c>
      <c r="O41">
        <v>0</v>
      </c>
      <c r="P41">
        <v>21596.65</v>
      </c>
      <c r="Q41">
        <v>14949.978929999999</v>
      </c>
      <c r="R41">
        <v>9.1349999999999998</v>
      </c>
      <c r="S41">
        <v>27.910299999999999</v>
      </c>
      <c r="T41">
        <v>0</v>
      </c>
      <c r="U41">
        <v>0</v>
      </c>
    </row>
    <row r="42" spans="1:21" x14ac:dyDescent="0.25">
      <c r="A42" t="s">
        <v>24</v>
      </c>
      <c r="B42" t="s">
        <v>30</v>
      </c>
      <c r="C42" t="str">
        <f>_xlfn.CONCAT(A42," - ",B42)</f>
        <v>Производство бытовой электроники и электрических приборов - Сведения отсутствуют</v>
      </c>
      <c r="D42">
        <v>7.833333333333333</v>
      </c>
      <c r="E42">
        <v>7</v>
      </c>
      <c r="F42">
        <v>20.12441319148936</v>
      </c>
      <c r="G42">
        <v>28.449784999999999</v>
      </c>
      <c r="H42">
        <v>302.36100000000005</v>
      </c>
      <c r="I42">
        <v>273.99021999999997</v>
      </c>
      <c r="J42">
        <v>0</v>
      </c>
      <c r="K42">
        <v>39.854999999999997</v>
      </c>
      <c r="L42">
        <v>0</v>
      </c>
      <c r="M42">
        <v>0</v>
      </c>
      <c r="N42">
        <v>0</v>
      </c>
      <c r="O42">
        <v>0</v>
      </c>
      <c r="P42">
        <v>294.26600000000002</v>
      </c>
      <c r="Q42">
        <v>228.49521999999999</v>
      </c>
      <c r="R42">
        <v>3.0950000000000002</v>
      </c>
      <c r="S42">
        <v>5.64</v>
      </c>
      <c r="T42">
        <v>5</v>
      </c>
      <c r="U42">
        <v>0</v>
      </c>
    </row>
    <row r="43" spans="1:21" x14ac:dyDescent="0.25">
      <c r="A43" t="s">
        <v>1</v>
      </c>
      <c r="B43" t="s">
        <v>44</v>
      </c>
      <c r="C43" t="str">
        <f>_xlfn.CONCAT(A43," - ",B43)</f>
        <v xml:space="preserve">Пищевая промышленность - Сахарная отрасль </v>
      </c>
      <c r="D43">
        <v>6.833333333333333</v>
      </c>
      <c r="E43">
        <v>5.916666666666667</v>
      </c>
      <c r="F43">
        <v>58.513363536585366</v>
      </c>
      <c r="G43">
        <v>60.186072112676058</v>
      </c>
      <c r="H43">
        <v>619.30447000000004</v>
      </c>
      <c r="I43">
        <v>303.53882000000004</v>
      </c>
      <c r="J43">
        <v>28.567</v>
      </c>
      <c r="K43">
        <v>4.1390000000000002</v>
      </c>
      <c r="L43">
        <v>0</v>
      </c>
      <c r="M43">
        <v>0</v>
      </c>
      <c r="N43">
        <v>0</v>
      </c>
      <c r="O43">
        <v>0</v>
      </c>
      <c r="P43">
        <v>577.91746999999998</v>
      </c>
      <c r="Q43">
        <v>286.70870000000002</v>
      </c>
      <c r="R43">
        <v>12.82</v>
      </c>
      <c r="S43">
        <v>12.691120000000002</v>
      </c>
      <c r="T43">
        <v>0</v>
      </c>
      <c r="U43">
        <v>0</v>
      </c>
    </row>
    <row r="44" spans="1:21" x14ac:dyDescent="0.25">
      <c r="A44" t="s">
        <v>2</v>
      </c>
      <c r="B44" t="s">
        <v>30</v>
      </c>
      <c r="C44" t="str">
        <f>_xlfn.CONCAT(A44," - ",B44)</f>
        <v>Радиоэлектроника и приборостроение - Сведения отсутствуют</v>
      </c>
      <c r="D44">
        <v>7.5</v>
      </c>
      <c r="E44">
        <v>9.6666666666666661</v>
      </c>
      <c r="F44">
        <v>38.460209444444445</v>
      </c>
      <c r="G44">
        <v>41.667667068965514</v>
      </c>
      <c r="H44">
        <v>2356.7239800000002</v>
      </c>
      <c r="I44">
        <v>2505.5975799999997</v>
      </c>
      <c r="J44">
        <v>683.33079000000009</v>
      </c>
      <c r="K44">
        <v>1072.03898</v>
      </c>
      <c r="L44">
        <v>485.13249000000002</v>
      </c>
      <c r="M44">
        <v>516.07056</v>
      </c>
      <c r="N44">
        <v>0</v>
      </c>
      <c r="O44">
        <v>0</v>
      </c>
      <c r="P44">
        <v>1184.6777</v>
      </c>
      <c r="Q44">
        <v>917.45458999999994</v>
      </c>
      <c r="R44">
        <v>0</v>
      </c>
      <c r="S44">
        <v>0</v>
      </c>
      <c r="T44">
        <v>3.5830000000000002</v>
      </c>
      <c r="U44">
        <v>3.3450000000000001E-2</v>
      </c>
    </row>
    <row r="45" spans="1:21" x14ac:dyDescent="0.25">
      <c r="A45" t="s">
        <v>5</v>
      </c>
      <c r="B45" t="s">
        <v>45</v>
      </c>
      <c r="C45" t="str">
        <f>_xlfn.CONCAT(A45," - ",B45)</f>
        <v>Общее машиностроение (в т.ч. оборудование пищевой переработки, дорожногстроительная и сельскохозяйственная техника) - Производство машин и оборудования для сельского и лесного хозяйства</v>
      </c>
      <c r="D45">
        <v>49.166666666666664</v>
      </c>
      <c r="E45">
        <v>85.166666666666671</v>
      </c>
      <c r="F45">
        <v>74.519978389830513</v>
      </c>
      <c r="G45">
        <v>104.3406098630137</v>
      </c>
      <c r="H45">
        <v>23627.450639999999</v>
      </c>
      <c r="I45">
        <v>46594.148700000005</v>
      </c>
      <c r="J45">
        <v>3130.4714700000004</v>
      </c>
      <c r="K45">
        <v>30469.93</v>
      </c>
      <c r="L45">
        <v>0</v>
      </c>
      <c r="M45">
        <v>0</v>
      </c>
      <c r="N45">
        <v>0</v>
      </c>
      <c r="O45">
        <v>0</v>
      </c>
      <c r="P45">
        <v>20347.554909999999</v>
      </c>
      <c r="Q45">
        <v>15923.468500000001</v>
      </c>
      <c r="R45">
        <v>135.42399</v>
      </c>
      <c r="S45">
        <v>200</v>
      </c>
      <c r="T45">
        <v>14.00027</v>
      </c>
      <c r="U45">
        <v>0.75020000000000009</v>
      </c>
    </row>
    <row r="46" spans="1:21" x14ac:dyDescent="0.25">
      <c r="A46" t="s">
        <v>25</v>
      </c>
      <c r="B46" t="s">
        <v>30</v>
      </c>
      <c r="C46" t="str">
        <f>_xlfn.CONCAT(A46," - ",B46)</f>
        <v>Аддитивные технологии - Сведения отсутствуют</v>
      </c>
      <c r="D46">
        <v>4.083333333333333</v>
      </c>
      <c r="E46">
        <v>11.166666666666666</v>
      </c>
      <c r="F46">
        <v>61.800611836734696</v>
      </c>
      <c r="G46">
        <v>75.142503283582087</v>
      </c>
      <c r="H46">
        <v>2713.8444300000001</v>
      </c>
      <c r="I46">
        <v>-4089.9185300000004</v>
      </c>
      <c r="J46">
        <v>1482.9984199999999</v>
      </c>
      <c r="K46">
        <v>-4952.5420000000004</v>
      </c>
      <c r="L46">
        <v>0</v>
      </c>
      <c r="M46">
        <v>0</v>
      </c>
      <c r="N46">
        <v>0</v>
      </c>
      <c r="O46">
        <v>0</v>
      </c>
      <c r="P46">
        <v>1230.4460100000001</v>
      </c>
      <c r="Q46">
        <v>862.62347</v>
      </c>
      <c r="R46">
        <v>0</v>
      </c>
      <c r="S46">
        <v>0</v>
      </c>
      <c r="T46">
        <v>0.4</v>
      </c>
      <c r="U46">
        <v>0</v>
      </c>
    </row>
    <row r="47" spans="1:21" x14ac:dyDescent="0.25">
      <c r="A47" t="s">
        <v>1</v>
      </c>
      <c r="B47" t="s">
        <v>46</v>
      </c>
      <c r="C47" t="str">
        <f>_xlfn.CONCAT(A47," - ",B47)</f>
        <v xml:space="preserve">Пищевая промышленность - Масложировая отрасль </v>
      </c>
      <c r="D47">
        <v>1.1666666666666667</v>
      </c>
      <c r="E47">
        <v>2.1666666666666665</v>
      </c>
      <c r="F47">
        <v>18.062857142857144</v>
      </c>
      <c r="G47">
        <v>12.742928461538462</v>
      </c>
      <c r="H47">
        <v>48.005000000000003</v>
      </c>
      <c r="I47">
        <v>26.687999999999999</v>
      </c>
      <c r="J47">
        <v>11.103999999999999</v>
      </c>
      <c r="K47">
        <v>1.494</v>
      </c>
      <c r="L47">
        <v>0</v>
      </c>
      <c r="M47">
        <v>0</v>
      </c>
      <c r="N47">
        <v>0</v>
      </c>
      <c r="O47">
        <v>0</v>
      </c>
      <c r="P47">
        <v>36.901000000000003</v>
      </c>
      <c r="Q47">
        <v>25.193999999999999</v>
      </c>
      <c r="R47">
        <v>0</v>
      </c>
      <c r="S47">
        <v>0</v>
      </c>
      <c r="T47">
        <v>0</v>
      </c>
      <c r="U47">
        <v>0</v>
      </c>
    </row>
    <row r="48" spans="1:21" x14ac:dyDescent="0.25">
      <c r="A48" t="s">
        <v>16</v>
      </c>
      <c r="B48" t="s">
        <v>47</v>
      </c>
      <c r="C48" t="str">
        <f>_xlfn.CONCAT(A48," - ",B48)</f>
        <v>Металлургия и металлообработка - Металлообработка</v>
      </c>
      <c r="D48">
        <v>3.4166666666666665</v>
      </c>
      <c r="E48">
        <v>3.0833333333333335</v>
      </c>
      <c r="F48">
        <v>43.644780975609756</v>
      </c>
      <c r="G48">
        <v>52.676241891891891</v>
      </c>
      <c r="H48">
        <v>827.03</v>
      </c>
      <c r="I48">
        <v>2197.0871400000001</v>
      </c>
      <c r="J48">
        <v>217.17099999999999</v>
      </c>
      <c r="K48">
        <v>973.36427000000003</v>
      </c>
      <c r="L48">
        <v>0</v>
      </c>
      <c r="M48">
        <v>0</v>
      </c>
      <c r="N48">
        <v>0</v>
      </c>
      <c r="O48">
        <v>0</v>
      </c>
      <c r="P48">
        <v>609.85900000000004</v>
      </c>
      <c r="Q48">
        <v>1223.7228700000001</v>
      </c>
      <c r="R48">
        <v>0</v>
      </c>
      <c r="S48">
        <v>0</v>
      </c>
      <c r="T48">
        <v>0</v>
      </c>
      <c r="U48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Салимхан Абдулхаликович Абдулхаликов</dc:creator>
  <cp:lastModifiedBy>Andy</cp:lastModifiedBy>
  <dcterms:created xsi:type="dcterms:W3CDTF">2023-02-02T16:44:00Z</dcterms:created>
  <dcterms:modified xsi:type="dcterms:W3CDTF">2023-05-28T08:40:59Z</dcterms:modified>
</cp:coreProperties>
</file>